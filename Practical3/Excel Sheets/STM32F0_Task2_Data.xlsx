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tcloud-my.sharepoint.com/personal/ngrmar007_myuct_ac_za/Documents/Third Year/EEE3096s-repository/EEE3096S-Group-39/Practical3/Excel Sheets/"/>
    </mc:Choice>
  </mc:AlternateContent>
  <xr:revisionPtr revIDLastSave="189" documentId="8_{B006F4A2-8E07-479D-A790-D971CA4F138D}" xr6:coauthVersionLast="47" xr6:coauthVersionMax="47" xr10:uidLastSave="{55892127-DFC8-4753-A37C-B6A586587A2A}"/>
  <bookViews>
    <workbookView xWindow="-108" yWindow="-108" windowWidth="23256" windowHeight="12456" xr2:uid="{C79BCD39-4858-4225-88C9-54642E139A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</calcChain>
</file>

<file path=xl/sharedStrings.xml><?xml version="1.0" encoding="utf-8"?>
<sst xmlns="http://schemas.openxmlformats.org/spreadsheetml/2006/main" count="10" uniqueCount="10">
  <si>
    <t>Iteration Value</t>
  </si>
  <si>
    <t>Image size</t>
  </si>
  <si>
    <t>Execution Time</t>
  </si>
  <si>
    <t>Checksum Value</t>
  </si>
  <si>
    <t>Mode</t>
  </si>
  <si>
    <t>Fixed Point Arithmetic</t>
  </si>
  <si>
    <t>Floating Point Arithmetic</t>
  </si>
  <si>
    <t>Typical Voltage(V)</t>
  </si>
  <si>
    <t>Current Consumed(A)</t>
  </si>
  <si>
    <t>Power Consumed (Wh)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</si>
</sst>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171D-5667-4752-BDCE-0D09A4C5BA63}">
  <dimension ref="A1:O51"/>
  <sheetViews>
    <sheetView tabSelected="1" topLeftCell="A2" zoomScale="65" workbookViewId="0">
      <selection activeCell="H1" sqref="H1"/>
    </sheetView>
  </sheetViews>
  <sheetFormatPr defaultRowHeight="14.4" x14ac:dyDescent="0.3"/>
  <cols>
    <col min="1" max="1" width="21.77734375" bestFit="1" customWidth="1"/>
    <col min="2" max="2" width="18.6640625" style="1" customWidth="1"/>
    <col min="3" max="3" width="20.33203125" style="2" customWidth="1"/>
    <col min="4" max="4" width="21.21875" style="1" customWidth="1"/>
    <col min="5" max="5" width="21.44140625" style="1" customWidth="1"/>
    <col min="6" max="6" width="15.6640625" bestFit="1" customWidth="1"/>
    <col min="14" max="14" width="21.109375" style="1" bestFit="1" customWidth="1"/>
    <col min="15" max="15" width="13.6640625" bestFit="1" customWidth="1"/>
  </cols>
  <sheetData>
    <row r="1" spans="1:15" x14ac:dyDescent="0.3">
      <c r="A1" t="s">
        <v>4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9</v>
      </c>
      <c r="N1" s="1" t="s">
        <v>8</v>
      </c>
      <c r="O1" t="s">
        <v>7</v>
      </c>
    </row>
    <row r="2" spans="1:15" x14ac:dyDescent="0.3">
      <c r="A2" s="3" t="s">
        <v>5</v>
      </c>
      <c r="B2" s="3">
        <v>100</v>
      </c>
      <c r="C2" s="1">
        <v>128</v>
      </c>
      <c r="D2" s="1">
        <v>3821</v>
      </c>
      <c r="E2" s="1">
        <v>429284</v>
      </c>
      <c r="F2">
        <f>($N$2*$O$2*(D2/36000000))</f>
        <v>7.7056833333333331E-6</v>
      </c>
      <c r="N2" s="1">
        <v>2.1999999999999999E-2</v>
      </c>
      <c r="O2">
        <v>3.3</v>
      </c>
    </row>
    <row r="3" spans="1:15" x14ac:dyDescent="0.3">
      <c r="A3" s="3"/>
      <c r="B3" s="3"/>
      <c r="C3" s="1">
        <v>160</v>
      </c>
      <c r="D3" s="1">
        <v>5964</v>
      </c>
      <c r="E3" s="1">
        <v>670125</v>
      </c>
      <c r="F3">
        <f t="shared" ref="F3:F51" si="0">$N$2*$O$2*(D3/36000000)</f>
        <v>1.2027399999999999E-5</v>
      </c>
    </row>
    <row r="4" spans="1:15" x14ac:dyDescent="0.3">
      <c r="A4" s="3"/>
      <c r="B4" s="3"/>
      <c r="C4" s="1">
        <v>192</v>
      </c>
      <c r="D4" s="1">
        <v>8592</v>
      </c>
      <c r="E4" s="1">
        <v>966199</v>
      </c>
      <c r="F4">
        <f t="shared" si="0"/>
        <v>1.7327199999999999E-5</v>
      </c>
    </row>
    <row r="5" spans="1:15" x14ac:dyDescent="0.3">
      <c r="A5" s="3"/>
      <c r="B5" s="3"/>
      <c r="C5" s="1">
        <v>224</v>
      </c>
      <c r="D5" s="1">
        <v>11689</v>
      </c>
      <c r="E5" s="1">
        <v>1315228</v>
      </c>
      <c r="F5">
        <f t="shared" si="0"/>
        <v>2.3572816666666666E-5</v>
      </c>
    </row>
    <row r="6" spans="1:15" x14ac:dyDescent="0.3">
      <c r="A6" s="3"/>
      <c r="B6" s="3"/>
      <c r="C6" s="1">
        <v>256</v>
      </c>
      <c r="D6" s="1">
        <v>15287</v>
      </c>
      <c r="E6" s="1">
        <v>1716594</v>
      </c>
      <c r="F6">
        <f t="shared" si="0"/>
        <v>3.0828783333333335E-5</v>
      </c>
    </row>
    <row r="7" spans="1:15" x14ac:dyDescent="0.3">
      <c r="A7" s="3"/>
      <c r="B7" s="3">
        <v>250</v>
      </c>
      <c r="C7" s="1">
        <v>128</v>
      </c>
      <c r="D7" s="1">
        <v>7804</v>
      </c>
      <c r="E7" s="1">
        <v>967946</v>
      </c>
      <c r="F7">
        <f t="shared" si="0"/>
        <v>1.5738066666666668E-5</v>
      </c>
    </row>
    <row r="8" spans="1:15" x14ac:dyDescent="0.3">
      <c r="A8" s="3"/>
      <c r="B8" s="3"/>
      <c r="C8" s="1">
        <v>160</v>
      </c>
      <c r="D8" s="1">
        <v>12184</v>
      </c>
      <c r="E8" s="1">
        <v>1511166</v>
      </c>
      <c r="F8">
        <f t="shared" si="0"/>
        <v>2.4571066666666666E-5</v>
      </c>
    </row>
    <row r="9" spans="1:15" x14ac:dyDescent="0.3">
      <c r="A9" s="3"/>
      <c r="B9" s="3"/>
      <c r="C9" s="1">
        <v>192</v>
      </c>
      <c r="D9" s="1">
        <v>17582</v>
      </c>
      <c r="E9" s="1">
        <v>2181757</v>
      </c>
      <c r="F9">
        <f t="shared" si="0"/>
        <v>3.5457033333333336E-5</v>
      </c>
    </row>
    <row r="10" spans="1:15" x14ac:dyDescent="0.3">
      <c r="A10" s="3"/>
      <c r="B10" s="3"/>
      <c r="C10" s="1">
        <v>224</v>
      </c>
      <c r="D10" s="1">
        <v>23896</v>
      </c>
      <c r="E10" s="1">
        <v>2965729</v>
      </c>
      <c r="F10">
        <f t="shared" si="0"/>
        <v>4.8190266666666665E-5</v>
      </c>
    </row>
    <row r="11" spans="1:15" x14ac:dyDescent="0.3">
      <c r="A11" s="3"/>
      <c r="B11" s="3"/>
      <c r="C11" s="1">
        <v>256</v>
      </c>
      <c r="D11" s="1">
        <v>31239</v>
      </c>
      <c r="E11" s="1">
        <v>3873352</v>
      </c>
      <c r="F11">
        <f t="shared" si="0"/>
        <v>6.299865E-5</v>
      </c>
    </row>
    <row r="12" spans="1:15" x14ac:dyDescent="0.3">
      <c r="A12" s="3"/>
      <c r="B12" s="3">
        <v>500</v>
      </c>
      <c r="C12" s="1">
        <v>128</v>
      </c>
      <c r="D12" s="1">
        <v>14384</v>
      </c>
      <c r="E12" s="1">
        <v>1857678</v>
      </c>
      <c r="F12">
        <f t="shared" si="0"/>
        <v>2.9007733333333334E-5</v>
      </c>
    </row>
    <row r="13" spans="1:15" x14ac:dyDescent="0.3">
      <c r="A13" s="3"/>
      <c r="B13" s="3"/>
      <c r="C13" s="1">
        <v>160</v>
      </c>
      <c r="D13" s="1">
        <v>22456</v>
      </c>
      <c r="E13" s="1">
        <v>2900031</v>
      </c>
      <c r="F13">
        <f t="shared" si="0"/>
        <v>4.5286266666666667E-5</v>
      </c>
    </row>
    <row r="14" spans="1:15" x14ac:dyDescent="0.3">
      <c r="A14" s="3"/>
      <c r="B14" s="3"/>
      <c r="C14" s="1">
        <v>192</v>
      </c>
      <c r="D14" s="1">
        <v>32421</v>
      </c>
      <c r="E14" s="1">
        <v>4188264</v>
      </c>
      <c r="F14">
        <f t="shared" si="0"/>
        <v>6.5382350000000003E-5</v>
      </c>
    </row>
    <row r="15" spans="1:15" x14ac:dyDescent="0.3">
      <c r="A15" s="3"/>
      <c r="B15" s="3"/>
      <c r="C15" s="1">
        <v>224</v>
      </c>
      <c r="D15" s="1">
        <v>44046</v>
      </c>
      <c r="E15" s="1">
        <v>5690272</v>
      </c>
      <c r="F15">
        <f t="shared" si="0"/>
        <v>8.88261E-5</v>
      </c>
    </row>
    <row r="16" spans="1:15" x14ac:dyDescent="0.3">
      <c r="A16" s="3"/>
      <c r="B16" s="3"/>
      <c r="C16" s="1">
        <v>256</v>
      </c>
      <c r="D16" s="1">
        <v>57589</v>
      </c>
      <c r="E16" s="1">
        <v>7436300</v>
      </c>
      <c r="F16">
        <f t="shared" si="0"/>
        <v>1.1613781666666665E-4</v>
      </c>
    </row>
    <row r="17" spans="1:6" x14ac:dyDescent="0.3">
      <c r="A17" s="3"/>
      <c r="B17" s="3">
        <v>750</v>
      </c>
      <c r="C17" s="1">
        <v>128</v>
      </c>
      <c r="D17" s="1">
        <v>20952</v>
      </c>
      <c r="E17" s="1">
        <v>2745748</v>
      </c>
      <c r="F17">
        <f t="shared" si="0"/>
        <v>4.2253200000000004E-5</v>
      </c>
    </row>
    <row r="18" spans="1:6" x14ac:dyDescent="0.3">
      <c r="A18" s="3"/>
      <c r="B18" s="3"/>
      <c r="C18" s="1">
        <v>160</v>
      </c>
      <c r="D18" s="1">
        <v>32693</v>
      </c>
      <c r="E18" s="1">
        <v>4284306</v>
      </c>
      <c r="F18">
        <f t="shared" si="0"/>
        <v>6.5930883333333333E-5</v>
      </c>
    </row>
    <row r="19" spans="1:6" x14ac:dyDescent="0.3">
      <c r="A19" s="3"/>
      <c r="B19" s="3"/>
      <c r="C19" s="1">
        <v>192</v>
      </c>
      <c r="D19" s="1">
        <v>47230</v>
      </c>
      <c r="E19" s="1">
        <v>6190623</v>
      </c>
      <c r="F19">
        <f t="shared" si="0"/>
        <v>9.5247166666666651E-5</v>
      </c>
    </row>
    <row r="20" spans="1:6" x14ac:dyDescent="0.3">
      <c r="A20" s="3"/>
      <c r="B20" s="3"/>
      <c r="C20" s="1">
        <v>224</v>
      </c>
      <c r="D20" s="1">
        <v>64152</v>
      </c>
      <c r="E20" s="1">
        <v>8408947</v>
      </c>
      <c r="F20">
        <f t="shared" si="0"/>
        <v>1.293732E-4</v>
      </c>
    </row>
    <row r="21" spans="1:6" x14ac:dyDescent="0.3">
      <c r="A21" s="3"/>
      <c r="B21" s="3"/>
      <c r="C21" s="1">
        <v>256</v>
      </c>
      <c r="D21" s="1">
        <v>83875</v>
      </c>
      <c r="E21" s="1">
        <v>10990550</v>
      </c>
      <c r="F21">
        <f t="shared" si="0"/>
        <v>1.6914791666666667E-4</v>
      </c>
    </row>
    <row r="22" spans="1:6" x14ac:dyDescent="0.3">
      <c r="A22" s="3"/>
      <c r="B22" s="3">
        <v>1000</v>
      </c>
      <c r="C22" s="1">
        <v>128</v>
      </c>
      <c r="D22" s="1">
        <v>27514</v>
      </c>
      <c r="E22" s="1">
        <v>3632998</v>
      </c>
      <c r="F22">
        <f t="shared" si="0"/>
        <v>5.5486566666666665E-5</v>
      </c>
    </row>
    <row r="23" spans="1:6" x14ac:dyDescent="0.3">
      <c r="A23" s="3"/>
      <c r="B23" s="3"/>
      <c r="C23" s="1">
        <v>160</v>
      </c>
      <c r="D23" s="1">
        <v>42919</v>
      </c>
      <c r="E23" s="1">
        <v>5667029</v>
      </c>
      <c r="F23">
        <f t="shared" si="0"/>
        <v>8.6553316666666667E-5</v>
      </c>
    </row>
    <row r="24" spans="1:6" x14ac:dyDescent="0.3">
      <c r="A24" s="3"/>
      <c r="B24" s="3"/>
      <c r="C24" s="1">
        <v>192</v>
      </c>
      <c r="D24" s="1">
        <v>62018</v>
      </c>
      <c r="E24" s="1">
        <v>8190158</v>
      </c>
      <c r="F24">
        <f t="shared" si="0"/>
        <v>1.2506963333333335E-4</v>
      </c>
    </row>
    <row r="25" spans="1:6" x14ac:dyDescent="0.3">
      <c r="A25" s="3"/>
      <c r="B25" s="3"/>
      <c r="C25" s="1">
        <v>224</v>
      </c>
      <c r="D25" s="1">
        <v>84237</v>
      </c>
      <c r="E25" s="1">
        <v>11124625</v>
      </c>
      <c r="F25">
        <f t="shared" si="0"/>
        <v>1.6987795E-4</v>
      </c>
    </row>
    <row r="26" spans="1:6" x14ac:dyDescent="0.3">
      <c r="A26" s="3"/>
      <c r="B26" s="3"/>
      <c r="C26" s="1">
        <v>256</v>
      </c>
      <c r="D26" s="1">
        <v>110118</v>
      </c>
      <c r="E26" s="1">
        <v>14538990</v>
      </c>
      <c r="F26">
        <f t="shared" si="0"/>
        <v>2.220713E-4</v>
      </c>
    </row>
    <row r="27" spans="1:6" x14ac:dyDescent="0.3">
      <c r="A27" s="3" t="s">
        <v>6</v>
      </c>
      <c r="B27" s="3">
        <v>100</v>
      </c>
      <c r="C27" s="1">
        <v>128</v>
      </c>
      <c r="D27" s="1">
        <v>21966</v>
      </c>
      <c r="E27" s="1">
        <v>429384</v>
      </c>
      <c r="F27">
        <f t="shared" si="0"/>
        <v>4.4298099999999995E-5</v>
      </c>
    </row>
    <row r="28" spans="1:6" x14ac:dyDescent="0.3">
      <c r="A28" s="3"/>
      <c r="B28" s="3"/>
      <c r="C28" s="1">
        <v>160</v>
      </c>
      <c r="D28" s="1">
        <v>34646</v>
      </c>
      <c r="E28" s="1">
        <v>669829</v>
      </c>
      <c r="F28">
        <f t="shared" si="0"/>
        <v>6.9869433333333332E-5</v>
      </c>
    </row>
    <row r="29" spans="1:6" x14ac:dyDescent="0.3">
      <c r="A29" s="3"/>
      <c r="B29" s="3"/>
      <c r="C29" s="1">
        <v>192</v>
      </c>
      <c r="D29" s="1">
        <v>49920</v>
      </c>
      <c r="E29" s="1">
        <v>966024</v>
      </c>
      <c r="F29">
        <f t="shared" si="0"/>
        <v>1.00672E-4</v>
      </c>
    </row>
    <row r="30" spans="1:6" x14ac:dyDescent="0.3">
      <c r="A30" s="3"/>
      <c r="B30" s="3"/>
      <c r="C30" s="1">
        <v>224</v>
      </c>
      <c r="D30" s="1">
        <v>68089</v>
      </c>
      <c r="E30" s="1">
        <v>1314999</v>
      </c>
      <c r="F30">
        <f t="shared" si="0"/>
        <v>1.3731281666666667E-4</v>
      </c>
    </row>
    <row r="31" spans="1:6" x14ac:dyDescent="0.3">
      <c r="A31" s="3"/>
      <c r="B31" s="3"/>
      <c r="C31" s="1">
        <v>256</v>
      </c>
      <c r="D31" s="1">
        <v>88010</v>
      </c>
      <c r="E31" s="1">
        <v>1715812</v>
      </c>
      <c r="F31">
        <f t="shared" si="0"/>
        <v>1.7748683333333333E-4</v>
      </c>
    </row>
    <row r="32" spans="1:6" x14ac:dyDescent="0.3">
      <c r="A32" s="3"/>
      <c r="B32" s="3">
        <v>250</v>
      </c>
      <c r="C32" s="1">
        <v>128</v>
      </c>
      <c r="D32" s="1">
        <v>48596</v>
      </c>
      <c r="E32" s="1">
        <v>968444</v>
      </c>
      <c r="F32">
        <f t="shared" si="0"/>
        <v>9.8001933333333334E-5</v>
      </c>
    </row>
    <row r="33" spans="1:6" x14ac:dyDescent="0.3">
      <c r="A33" s="3"/>
      <c r="B33" s="3"/>
      <c r="C33" s="1">
        <v>160</v>
      </c>
      <c r="D33" s="1">
        <v>76194</v>
      </c>
      <c r="E33" s="1">
        <v>1509977</v>
      </c>
      <c r="F33">
        <f t="shared" si="0"/>
        <v>1.5365789999999998E-4</v>
      </c>
    </row>
    <row r="34" spans="1:6" x14ac:dyDescent="0.3">
      <c r="A34" s="3"/>
      <c r="B34" s="3"/>
      <c r="C34" s="1">
        <v>192</v>
      </c>
      <c r="D34" s="1">
        <v>109996</v>
      </c>
      <c r="E34" s="1">
        <v>2179882</v>
      </c>
      <c r="F34">
        <f t="shared" si="0"/>
        <v>2.2182526666666665E-4</v>
      </c>
    </row>
    <row r="35" spans="1:6" x14ac:dyDescent="0.3">
      <c r="A35" s="3"/>
      <c r="B35" s="3"/>
      <c r="C35" s="1">
        <v>224</v>
      </c>
      <c r="D35" s="1">
        <v>149714</v>
      </c>
      <c r="E35" s="1">
        <v>2963391</v>
      </c>
      <c r="F35">
        <f t="shared" si="0"/>
        <v>3.0192323333333334E-4</v>
      </c>
    </row>
    <row r="36" spans="1:6" x14ac:dyDescent="0.3">
      <c r="A36" s="3"/>
      <c r="B36" s="3"/>
      <c r="C36" s="1">
        <v>256</v>
      </c>
      <c r="D36" s="1">
        <v>194913</v>
      </c>
      <c r="E36" s="1">
        <v>3873086</v>
      </c>
      <c r="F36">
        <f t="shared" si="0"/>
        <v>3.9307454999999995E-4</v>
      </c>
    </row>
    <row r="37" spans="1:6" x14ac:dyDescent="0.3">
      <c r="A37" s="3"/>
      <c r="B37" s="3">
        <v>500</v>
      </c>
      <c r="C37" s="1">
        <v>128</v>
      </c>
      <c r="D37" s="1">
        <v>92527</v>
      </c>
      <c r="E37" s="1">
        <v>1857698</v>
      </c>
      <c r="F37">
        <f t="shared" si="0"/>
        <v>1.8659611666666667E-4</v>
      </c>
    </row>
    <row r="38" spans="1:6" x14ac:dyDescent="0.3">
      <c r="A38" s="3"/>
      <c r="B38" s="3"/>
      <c r="C38" s="1">
        <v>160</v>
      </c>
      <c r="D38" s="1">
        <v>144852</v>
      </c>
      <c r="E38" s="1">
        <v>2898149</v>
      </c>
      <c r="F38">
        <f t="shared" si="0"/>
        <v>2.9211819999999997E-4</v>
      </c>
    </row>
    <row r="39" spans="1:6" x14ac:dyDescent="0.3">
      <c r="A39" s="3"/>
      <c r="B39" s="3"/>
      <c r="C39" s="1">
        <v>192</v>
      </c>
      <c r="D39" s="1">
        <v>209137</v>
      </c>
      <c r="E39" s="1">
        <v>4182966</v>
      </c>
      <c r="F39">
        <f t="shared" si="0"/>
        <v>4.2175961666666669E-4</v>
      </c>
    </row>
    <row r="40" spans="1:6" x14ac:dyDescent="0.3">
      <c r="A40" s="3"/>
      <c r="B40" s="3"/>
      <c r="C40" s="1">
        <v>224</v>
      </c>
      <c r="D40" s="1">
        <v>284434</v>
      </c>
      <c r="E40" s="1">
        <v>5683767</v>
      </c>
      <c r="F40">
        <f t="shared" si="0"/>
        <v>5.7360856666666669E-4</v>
      </c>
    </row>
    <row r="41" spans="1:6" x14ac:dyDescent="0.3">
      <c r="A41" s="3"/>
      <c r="B41" s="3"/>
      <c r="C41" s="1">
        <v>256</v>
      </c>
      <c r="D41" s="1">
        <v>371558</v>
      </c>
      <c r="E41" s="1">
        <v>7437312</v>
      </c>
      <c r="F41">
        <f t="shared" si="0"/>
        <v>7.4930863333333333E-4</v>
      </c>
    </row>
    <row r="42" spans="1:6" x14ac:dyDescent="0.3">
      <c r="A42" s="3"/>
      <c r="B42" s="3">
        <v>750</v>
      </c>
      <c r="C42" s="1">
        <v>128</v>
      </c>
      <c r="D42" s="1">
        <v>136352</v>
      </c>
      <c r="E42" s="1">
        <v>2744850</v>
      </c>
      <c r="F42">
        <f t="shared" si="0"/>
        <v>2.7497653333333335E-4</v>
      </c>
    </row>
    <row r="43" spans="1:6" x14ac:dyDescent="0.3">
      <c r="A43" s="3"/>
      <c r="B43" s="3"/>
      <c r="C43" s="1">
        <v>160</v>
      </c>
      <c r="D43" s="1">
        <v>213241</v>
      </c>
      <c r="E43" s="1">
        <v>4280860</v>
      </c>
      <c r="F43">
        <f t="shared" si="0"/>
        <v>4.3003601666666665E-4</v>
      </c>
    </row>
    <row r="44" spans="1:6" x14ac:dyDescent="0.3">
      <c r="A44" s="3"/>
      <c r="B44" s="3"/>
      <c r="C44" s="1">
        <v>192</v>
      </c>
      <c r="D44" s="1">
        <v>308009</v>
      </c>
      <c r="E44" s="1">
        <v>6180580</v>
      </c>
      <c r="F44">
        <f t="shared" si="0"/>
        <v>6.2115148333333333E-4</v>
      </c>
    </row>
    <row r="45" spans="1:6" x14ac:dyDescent="0.3">
      <c r="A45" s="3"/>
      <c r="B45" s="3"/>
      <c r="C45" s="1">
        <v>224</v>
      </c>
      <c r="D45" s="1">
        <v>418913</v>
      </c>
      <c r="E45" s="1">
        <v>8399191</v>
      </c>
      <c r="F45">
        <f t="shared" si="0"/>
        <v>8.4480788333333328E-4</v>
      </c>
    </row>
    <row r="46" spans="1:6" x14ac:dyDescent="0.3">
      <c r="A46" s="3"/>
      <c r="B46" s="3"/>
      <c r="C46" s="1">
        <v>256</v>
      </c>
      <c r="D46" s="1">
        <v>547592</v>
      </c>
      <c r="E46" s="1">
        <v>10988990</v>
      </c>
      <c r="F46">
        <f t="shared" si="0"/>
        <v>1.1043105333333333E-3</v>
      </c>
    </row>
    <row r="47" spans="1:6" x14ac:dyDescent="0.3">
      <c r="A47" s="3"/>
      <c r="B47" s="3">
        <v>1000</v>
      </c>
      <c r="C47" s="1">
        <v>128</v>
      </c>
      <c r="D47" s="1">
        <v>180136</v>
      </c>
      <c r="E47" s="1">
        <v>3631126</v>
      </c>
      <c r="F47">
        <f t="shared" si="0"/>
        <v>3.6327426666666669E-4</v>
      </c>
    </row>
    <row r="48" spans="1:6" x14ac:dyDescent="0.3">
      <c r="A48" s="3"/>
      <c r="B48" s="3"/>
      <c r="C48" s="1">
        <v>160</v>
      </c>
      <c r="D48" s="1">
        <v>281535</v>
      </c>
      <c r="E48" s="1">
        <v>5661614</v>
      </c>
      <c r="F48">
        <f t="shared" si="0"/>
        <v>5.6776224999999995E-4</v>
      </c>
    </row>
    <row r="49" spans="1:6" x14ac:dyDescent="0.3">
      <c r="A49" s="3"/>
      <c r="B49" s="3"/>
      <c r="C49" s="1">
        <v>192</v>
      </c>
      <c r="D49" s="1">
        <v>406780</v>
      </c>
      <c r="E49" s="1">
        <v>8176148</v>
      </c>
      <c r="F49">
        <f t="shared" si="0"/>
        <v>8.2033966666666676E-4</v>
      </c>
    </row>
    <row r="50" spans="1:6" x14ac:dyDescent="0.3">
      <c r="A50" s="3"/>
      <c r="B50" s="3"/>
      <c r="C50" s="1">
        <v>224</v>
      </c>
      <c r="D50" s="1">
        <v>553288</v>
      </c>
      <c r="E50" s="1">
        <v>11112491</v>
      </c>
      <c r="F50">
        <f t="shared" si="0"/>
        <v>1.1157974666666667E-3</v>
      </c>
    </row>
    <row r="51" spans="1:6" x14ac:dyDescent="0.3">
      <c r="A51" s="3"/>
      <c r="B51" s="3"/>
      <c r="C51" s="1">
        <v>256</v>
      </c>
      <c r="D51" s="1">
        <v>723349</v>
      </c>
      <c r="E51" s="1">
        <v>14534966</v>
      </c>
      <c r="F51">
        <f t="shared" si="0"/>
        <v>1.4587538166666667E-3</v>
      </c>
    </row>
  </sheetData>
  <mergeCells count="12">
    <mergeCell ref="A27:A51"/>
    <mergeCell ref="B27:B31"/>
    <mergeCell ref="B32:B36"/>
    <mergeCell ref="B37:B41"/>
    <mergeCell ref="B42:B46"/>
    <mergeCell ref="B47:B51"/>
    <mergeCell ref="A2:A26"/>
    <mergeCell ref="B2:B6"/>
    <mergeCell ref="B7:B11"/>
    <mergeCell ref="B12:B16"/>
    <mergeCell ref="B17:B21"/>
    <mergeCell ref="B22:B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Marshall Ngari</dc:creator>
  <cp:lastModifiedBy>Marshall Ngari</cp:lastModifiedBy>
  <dcterms:created xsi:type="dcterms:W3CDTF">2025-09-10T11:20:22Z</dcterms:created>
  <dcterms:modified xsi:type="dcterms:W3CDTF">2025-09-18T10:59:03Z</dcterms:modified>
</cp:coreProperties>
</file>